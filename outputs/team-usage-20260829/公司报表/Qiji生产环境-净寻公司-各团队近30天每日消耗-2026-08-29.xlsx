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eccbea82ef4b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表" sheetId="1" r:id="Rd146bd29200f45d6"/>
    <x:sheet xmlns:r="http://schemas.openxmlformats.org/officeDocument/2006/relationships" name="未分组个人" sheetId="2" r:id="R9d53686a7aac45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mm-dd"/>
  </x:numFmts>
  <x:fonts count="8">
    <x:font>
      <x:sz val="11"/>
      <x:name val="Carlito"/>
    </x:font>
    <x:font>
      <x:b/>
      <x:sz val="16"/>
      <x:color rgb="FFFFFFFF"/>
      <x:name val="Carlito"/>
    </x:font>
    <x:font>
      <x:sz val="10"/>
      <x:color rgb="FF667788"/>
      <x:name val="Carlito"/>
    </x:font>
    <x:font>
      <x:sz val="11"/>
      <x:color rgb="FF203040"/>
      <x:name val="Carlito"/>
    </x:font>
    <x:font>
      <x:b/>
      <x:sz val="11"/>
      <x:color rgb="FF1F4E78"/>
      <x:name val="Carlito"/>
    </x:font>
    <x:font>
      <x:b/>
      <x:sz val="11"/>
      <x:color rgb="FF203040"/>
      <x:name val="Carlito"/>
    </x:font>
    <x:font>
      <x:b/>
      <x:sz val="10"/>
      <x:color rgb="FFFFFFFF"/>
      <x:name val="Carlito"/>
    </x:font>
    <x:font>
      <x:i/>
      <x:sz val="9"/>
      <x:color rgb="FF66778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4F8FC"/>
      </x:patternFill>
    </x:fill>
    <x:fill>
      <x:patternFill patternType="solid">
        <x:fgColor rgb="FFDDEB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</x:fills>
  <x:borders count="7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bottom style="thin">
        <x:color rgb="FFCFD8E3"/>
      </x:bottom>
    </x:border>
    <x:border>
      <x:top style="thin">
        <x:color rgb="FFCFD8E3"/>
      </x:top>
      <x:bottom style="thin">
        <x:color rgb="FFCFD8E3"/>
      </x:bottom>
    </x:border>
    <x:border>
      <x:bottom style="double">
        <x:color rgb="FF1F4E78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6" fillId="5" borderId="0" xfId="0" applyNumberFormat="1" applyFont="1" applyFill="1" applyBorder="1"/>
    <x:xf numFmtId="201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2" xfId="0" applyNumberFormat="1" applyFont="1" applyFill="1" applyBorder="1"/>
    <x:xf numFmtId="201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wrapText="1"/>
    </x:xf>
    <x:xf numFmtId="201" fontId="6" fillId="5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horizontal="center" wrapText="1"/>
    </x:xf>
    <x:xf numFmtId="0" fontId="6" fillId="5" borderId="2" xfId="0" applyNumberFormat="1" applyFont="1" applyFill="1" applyBorder="1" applyAlignment="1">
      <x:alignment horizontal="center" wrapText="1"/>
    </x:xf>
    <x:xf numFmtId="201" fontId="6" fillId="5" borderId="2" xfId="0" applyNumberFormat="1" applyFont="1" applyFill="1" applyBorder="1" applyAlignment="1">
      <x:alignment horizontal="center" wrapText="1"/>
    </x:xf>
    <x:xf numFmtId="0" fontId="6" fillId="5" borderId="3" xfId="0" applyNumberFormat="1" applyFont="1" applyFill="1" applyBorder="1" applyAlignment="1">
      <x:alignment horizont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201" fontId="6" fillId="5" borderId="2" xfId="0" applyNumberFormat="1" applyFont="1" applyFill="1" applyBorder="1" applyAlignment="1">
      <x:alignment horizontal="center" vertical="center" wrapText="1"/>
    </x:xf>
    <x:xf numFmtId="0" fontId="6" fillId="5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0" fontId="0" fillId="0" borderId="4" xfId="0" applyNumberFormat="1" applyFont="1" applyFill="1" applyBorder="1"/>
    <x:xf numFmtId="200" fontId="0" fillId="0" borderId="4" xfId="0" applyNumberFormat="1" applyFont="1" applyFill="1" applyBorder="1" applyAlignment="1">
      <x:alignment horizontal="right"/>
    </x:xf>
    <x:xf numFmtId="0" fontId="0" fillId="0" borderId="5" xfId="0" applyNumberFormat="1" applyFont="1" applyFill="1" applyBorder="1"/>
    <x:xf numFmtId="200" fontId="0" fillId="0" borderId="5" xfId="0" applyNumberFormat="1" applyFont="1" applyFill="1" applyBorder="1" applyAlignment="1">
      <x:alignment horizontal="right"/>
    </x:xf>
    <x:xf numFmtId="0" fontId="0" fillId="3" borderId="5" xfId="0" applyNumberFormat="1" applyFont="1" applyFill="1" applyBorder="1"/>
    <x:xf numFmtId="200" fontId="0" fillId="3" borderId="5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6" xfId="0" applyNumberFormat="1" applyFont="1" applyFill="1" applyBorder="1"/>
    <x:xf numFmtId="200" fontId="5" fillId="6" borderId="6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200" fontId="0" fillId="0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97d3a6be4d413a" /><Relationship Type="http://schemas.openxmlformats.org/officeDocument/2006/relationships/theme" Target="/xl/theme/theme1.xml" Id="Rffa23c534fb444c7" /><Relationship Type="http://schemas.openxmlformats.org/officeDocument/2006/relationships/sharedStrings" Target="/xl/sharedStrings.xml" Id="Re7a400a1154044fd" /><Relationship Type="http://schemas.openxmlformats.org/officeDocument/2006/relationships/worksheet" Target="/xl/worksheets/sheet1.xml" Id="Rd146bd29200f45d6" /><Relationship Type="http://schemas.openxmlformats.org/officeDocument/2006/relationships/worksheet" Target="/xl/worksheets/sheet2.xml" Id="R9d53686a7aac4592" /></Relationships>
</file>

<file path=xl/tables/table1.xml><?xml version="1.0" encoding="utf-8"?>
<x:table xmlns:x="http://schemas.openxmlformats.org/spreadsheetml/2006/main" id="2" name="SummaryUsage" displayName="SummaryUsage" ref="A5:AH6" headerRowCount="1" totalsRowCount="0" totalsRowShown="0">
  <x:autoFilter ref="A5:AH6"/>
  <x:tableColumns count="34">
    <x:tableColumn id="1" name="分类 / 小组"/>
    <x:tableColumn id="2" name="积分方式"/>
    <x:tableColumn id="3" name="人数"/>
    <x:tableColumn id="4" name="Sat Aug 29 2026 08:00:00 GMT+0800 (新加坡标准时间)"/>
    <x:tableColumn id="5" name="Fri Aug 28 2026 08:00:00 GMT+0800 (新加坡标准时间)"/>
    <x:tableColumn id="6" name="Thu Aug 27 2026 08:00:00 GMT+0800 (新加坡标准时间)"/>
    <x:tableColumn id="7" name="Wed Aug 26 2026 08:00:00 GMT+0800 (新加坡标准时间)"/>
    <x:tableColumn id="8" name="Tue Aug 25 2026 08:00:00 GMT+0800 (新加坡标准时间)"/>
    <x:tableColumn id="9" name="Mon Aug 24 2026 08:00:00 GMT+0800 (新加坡标准时间)"/>
    <x:tableColumn id="10" name="Sun Aug 23 2026 08:00:00 GMT+0800 (新加坡标准时间)"/>
    <x:tableColumn id="11" name="Sat Aug 22 2026 08:00:00 GMT+0800 (新加坡标准时间)"/>
    <x:tableColumn id="12" name="Fri Aug 21 2026 08:00:00 GMT+0800 (新加坡标准时间)"/>
    <x:tableColumn id="13" name="Thu Aug 20 2026 08:00:00 GMT+0800 (新加坡标准时间)"/>
    <x:tableColumn id="14" name="Wed Aug 19 2026 08:00:00 GMT+0800 (新加坡标准时间)"/>
    <x:tableColumn id="15" name="Tue Aug 18 2026 08:00:00 GMT+0800 (新加坡标准时间)"/>
    <x:tableColumn id="16" name="Mon Aug 17 2026 08:00:00 GMT+0800 (新加坡标准时间)"/>
    <x:tableColumn id="17" name="Sun Aug 16 2026 08:00:00 GMT+0800 (新加坡标准时间)"/>
    <x:tableColumn id="18" name="Sat Aug 15 2026 08:00:00 GMT+0800 (新加坡标准时间)"/>
    <x:tableColumn id="19" name="Fri Aug 14 2026 08:00:00 GMT+0800 (新加坡标准时间)"/>
    <x:tableColumn id="20" name="Thu Aug 13 2026 08:00:00 GMT+0800 (新加坡标准时间)"/>
    <x:tableColumn id="21" name="Wed Aug 12 2026 08:00:00 GMT+0800 (新加坡标准时间)"/>
    <x:tableColumn id="22" name="Tue Aug 11 2026 08:00:00 GMT+0800 (新加坡标准时间)"/>
    <x:tableColumn id="23" name="Mon Aug 10 2026 08:00:00 GMT+0800 (新加坡标准时间)"/>
    <x:tableColumn id="24" name="Sun Aug 09 2026 08:00:00 GMT+0800 (新加坡标准时间)"/>
    <x:tableColumn id="25" name="Sat Aug 08 2026 08:00:00 GMT+0800 (新加坡标准时间)"/>
    <x:tableColumn id="26" name="Fri Aug 07 2026 08:00:00 GMT+0800 (新加坡标准时间)"/>
    <x:tableColumn id="27" name="Thu Aug 06 2026 08:00:00 GMT+0800 (新加坡标准时间)"/>
    <x:tableColumn id="28" name="Wed Aug 05 2026 08:00:00 GMT+0800 (新加坡标准时间)"/>
    <x:tableColumn id="29" name="Tue Aug 04 2026 08:00:00 GMT+0800 (新加坡标准时间)"/>
    <x:tableColumn id="30" name="Mon Aug 03 2026 08:00:00 GMT+0800 (新加坡标准时间)"/>
    <x:tableColumn id="31" name="Sun Aug 02 2026 08:00:00 GMT+0800 (新加坡标准时间)"/>
    <x:tableColumn id="32" name="Sat Aug 01 2026 08:00:00 GMT+0800 (新加坡标准时间)"/>
    <x:tableColumn id="33" name="Fri Jul 31 2026 08:00:00 GMT+0800 (新加坡标准时间)"/>
    <x:tableColumn id="34" name="30天合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UngroupedUsage" displayName="UngroupedUsage" ref="A5:AH9" headerRowCount="1" totalsRowCount="0" totalsRowShown="0">
  <x:autoFilter ref="A5:AH9"/>
  <x:tableColumns count="34">
    <x:tableColumn id="1" name="用户"/>
    <x:tableColumn id="2" name="身份"/>
    <x:tableColumn id="3" name="账号"/>
    <x:tableColumn id="4" name="Sat Aug 29 2026 08:00:00 GMT+0800 (新加坡标准时间)"/>
    <x:tableColumn id="5" name="Fri Aug 28 2026 08:00:00 GMT+0800 (新加坡标准时间)"/>
    <x:tableColumn id="6" name="Thu Aug 27 2026 08:00:00 GMT+0800 (新加坡标准时间)"/>
    <x:tableColumn id="7" name="Wed Aug 26 2026 08:00:00 GMT+0800 (新加坡标准时间)"/>
    <x:tableColumn id="8" name="Tue Aug 25 2026 08:00:00 GMT+0800 (新加坡标准时间)"/>
    <x:tableColumn id="9" name="Mon Aug 24 2026 08:00:00 GMT+0800 (新加坡标准时间)"/>
    <x:tableColumn id="10" name="Sun Aug 23 2026 08:00:00 GMT+0800 (新加坡标准时间)"/>
    <x:tableColumn id="11" name="Sat Aug 22 2026 08:00:00 GMT+0800 (新加坡标准时间)"/>
    <x:tableColumn id="12" name="Fri Aug 21 2026 08:00:00 GMT+0800 (新加坡标准时间)"/>
    <x:tableColumn id="13" name="Thu Aug 20 2026 08:00:00 GMT+0800 (新加坡标准时间)"/>
    <x:tableColumn id="14" name="Wed Aug 19 2026 08:00:00 GMT+0800 (新加坡标准时间)"/>
    <x:tableColumn id="15" name="Tue Aug 18 2026 08:00:00 GMT+0800 (新加坡标准时间)"/>
    <x:tableColumn id="16" name="Mon Aug 17 2026 08:00:00 GMT+0800 (新加坡标准时间)"/>
    <x:tableColumn id="17" name="Sun Aug 16 2026 08:00:00 GMT+0800 (新加坡标准时间)"/>
    <x:tableColumn id="18" name="Sat Aug 15 2026 08:00:00 GMT+0800 (新加坡标准时间)"/>
    <x:tableColumn id="19" name="Fri Aug 14 2026 08:00:00 GMT+0800 (新加坡标准时间)"/>
    <x:tableColumn id="20" name="Thu Aug 13 2026 08:00:00 GMT+0800 (新加坡标准时间)"/>
    <x:tableColumn id="21" name="Wed Aug 12 2026 08:00:00 GMT+0800 (新加坡标准时间)"/>
    <x:tableColumn id="22" name="Tue Aug 11 2026 08:00:00 GMT+0800 (新加坡标准时间)"/>
    <x:tableColumn id="23" name="Mon Aug 10 2026 08:00:00 GMT+0800 (新加坡标准时间)"/>
    <x:tableColumn id="24" name="Sun Aug 09 2026 08:00:00 GMT+0800 (新加坡标准时间)"/>
    <x:tableColumn id="25" name="Sat Aug 08 2026 08:00:00 GMT+0800 (新加坡标准时间)"/>
    <x:tableColumn id="26" name="Fri Aug 07 2026 08:00:00 GMT+0800 (新加坡标准时间)"/>
    <x:tableColumn id="27" name="Thu Aug 06 2026 08:00:00 GMT+0800 (新加坡标准时间)"/>
    <x:tableColumn id="28" name="Wed Aug 05 2026 08:00:00 GMT+0800 (新加坡标准时间)"/>
    <x:tableColumn id="29" name="Tue Aug 04 2026 08:00:00 GMT+0800 (新加坡标准时间)"/>
    <x:tableColumn id="30" name="Mon Aug 03 2026 08:00:00 GMT+0800 (新加坡标准时间)"/>
    <x:tableColumn id="31" name="Sun Aug 02 2026 08:00:00 GMT+0800 (新加坡标准时间)"/>
    <x:tableColumn id="32" name="Sat Aug 01 2026 08:00:00 GMT+0800 (新加坡标准时间)"/>
    <x:tableColumn id="33" name="Fri Jul 31 2026 08:00:00 GMT+0800 (新加坡标准时间)"/>
    <x:tableColumn id="34" name="30天合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d0a015acbe4d8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7e3d0dd548a4b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5" hidden="0" customWidth="1"/>
  </x:cols>
  <x:sheetData>
    <x:row r="1" ht="32" customHeight="1">
      <x:c r="A1" s="3" t="str">
        <x:v>净寻公司 · 各团队近30天每日消耗总表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24" customHeight="1">
      <x:c r="A2" s="6" t="str">
        <x:v>数据快照 2026-08-29T12:42:15.085Z · 2026-07-31 至 2026-08-29（UTC）· 今日为部分日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</x:row>
    <x:row r="3" ht="24" customHeight="1">
      <x:c r="A3" s="10" t="str">
        <x:v>公司</x:v>
      </x:c>
      <x:c r="B3" s="11" t="str">
        <x:v>净寻</x:v>
      </x:c>
      <x:c r="C3" s="10" t="str">
        <x:v>团队数</x:v>
      </x:c>
      <x:c r="D3" s="12" t="n">
        <x:v>0</x:v>
      </x:c>
      <x:c r="E3" s="13" t="str">
        <x:v>组内成员</x:v>
      </x:c>
      <x:c r="F3" s="12" t="n">
        <x:v>0</x:v>
      </x:c>
      <x:c r="G3" s="13" t="str">
        <x:v>未分组人数</x:v>
      </x:c>
      <x:c r="H3" s="12" t="n">
        <x:v>4</x:v>
      </x:c>
      <x:c r="I3" s="13" t="str">
        <x:v>组内30天消耗</x:v>
      </x:c>
      <x:c r="J3" s="12" t="n">
        <x:f>0</x:f>
        <x:v>0</x:v>
      </x:c>
      <x:c r="K3" s="13" t="str">
        <x:v>未分组30天消耗</x:v>
      </x:c>
      <x:c r="L3" s="12" t="n">
        <x:f>AH6</x:f>
        <x:v>7355</x:v>
      </x:c>
      <x:c r="M3" s="13" t="str">
        <x:v>公司30天合计</x:v>
      </x:c>
      <x:c r="N3" s="12" t="n">
        <x:f>AH7</x:f>
        <x:v>7355</x:v>
      </x:c>
    </x:row>
    <x:row r="5" ht="34" customHeight="1">
      <x:c r="A5" s="31" t="str">
        <x:v>分类 / 小组</x:v>
      </x:c>
      <x:c r="B5" s="32" t="str">
        <x:v>积分方式</x:v>
      </x:c>
      <x:c r="C5" s="32" t="str">
        <x:v>人数</x:v>
      </x:c>
      <x:c r="D5" s="33" t="n">
        <x:v>46263</x:v>
      </x:c>
      <x:c r="E5" s="33" t="n">
        <x:v>46262</x:v>
      </x:c>
      <x:c r="F5" s="33" t="n">
        <x:v>46261</x:v>
      </x:c>
      <x:c r="G5" s="33" t="n">
        <x:v>46260</x:v>
      </x:c>
      <x:c r="H5" s="33" t="n">
        <x:v>46259</x:v>
      </x:c>
      <x:c r="I5" s="33" t="n">
        <x:v>46258</x:v>
      </x:c>
      <x:c r="J5" s="33" t="n">
        <x:v>46257</x:v>
      </x:c>
      <x:c r="K5" s="33" t="n">
        <x:v>46256</x:v>
      </x:c>
      <x:c r="L5" s="33" t="n">
        <x:v>46255</x:v>
      </x:c>
      <x:c r="M5" s="33" t="n">
        <x:v>46254</x:v>
      </x:c>
      <x:c r="N5" s="33" t="n">
        <x:v>46253</x:v>
      </x:c>
      <x:c r="O5" s="33" t="n">
        <x:v>46252</x:v>
      </x:c>
      <x:c r="P5" s="33" t="n">
        <x:v>46251</x:v>
      </x:c>
      <x:c r="Q5" s="33" t="n">
        <x:v>46250</x:v>
      </x:c>
      <x:c r="R5" s="33" t="n">
        <x:v>46249</x:v>
      </x:c>
      <x:c r="S5" s="33" t="n">
        <x:v>46248</x:v>
      </x:c>
      <x:c r="T5" s="33" t="n">
        <x:v>46247</x:v>
      </x:c>
      <x:c r="U5" s="33" t="n">
        <x:v>46246</x:v>
      </x:c>
      <x:c r="V5" s="33" t="n">
        <x:v>46245</x:v>
      </x:c>
      <x:c r="W5" s="33" t="n">
        <x:v>46244</x:v>
      </x:c>
      <x:c r="X5" s="33" t="n">
        <x:v>46243</x:v>
      </x:c>
      <x:c r="Y5" s="33" t="n">
        <x:v>46242</x:v>
      </x:c>
      <x:c r="Z5" s="33" t="n">
        <x:v>46241</x:v>
      </x:c>
      <x:c r="AA5" s="33" t="n">
        <x:v>46240</x:v>
      </x:c>
      <x:c r="AB5" s="33" t="n">
        <x:v>46239</x:v>
      </x:c>
      <x:c r="AC5" s="33" t="n">
        <x:v>46238</x:v>
      </x:c>
      <x:c r="AD5" s="33" t="n">
        <x:v>46237</x:v>
      </x:c>
      <x:c r="AE5" s="33" t="n">
        <x:v>46236</x:v>
      </x:c>
      <x:c r="AF5" s="33" t="n">
        <x:v>46235</x:v>
      </x:c>
      <x:c r="AG5" s="33" t="n">
        <x:v>46234</x:v>
      </x:c>
      <x:c r="AH5" s="34" t="str">
        <x:v>30天合计</x:v>
      </x:c>
    </x:row>
    <x:row r="6">
      <x:c r="A6" s="37" t="str">
        <x:v>未分组个人</x:v>
      </x:c>
      <x:c r="B6" s="37" t="str">
        <x:v>个人积分</x:v>
      </x:c>
      <x:c r="C6" s="37" t="n">
        <x:v>4</x:v>
      </x:c>
      <x:c r="D6" s="49" t="n">
        <x:f>'未分组个人'!D10</x:f>
        <x:v>0</x:v>
      </x:c>
      <x:c r="E6" s="49" t="n">
        <x:f>'未分组个人'!E10</x:f>
        <x:v>0</x:v>
      </x:c>
      <x:c r="F6" s="49" t="n">
        <x:f>'未分组个人'!F10</x:f>
        <x:v>0</x:v>
      </x:c>
      <x:c r="G6" s="49" t="n">
        <x:f>'未分组个人'!G10</x:f>
        <x:v>0</x:v>
      </x:c>
      <x:c r="H6" s="49" t="n">
        <x:f>'未分组个人'!H10</x:f>
        <x:v>0</x:v>
      </x:c>
      <x:c r="I6" s="49" t="n">
        <x:f>'未分组个人'!I10</x:f>
        <x:v>0</x:v>
      </x:c>
      <x:c r="J6" s="49" t="n">
        <x:f>'未分组个人'!J10</x:f>
        <x:v>0</x:v>
      </x:c>
      <x:c r="K6" s="49" t="n">
        <x:f>'未分组个人'!K10</x:f>
        <x:v>3030</x:v>
      </x:c>
      <x:c r="L6" s="49" t="n">
        <x:f>'未分组个人'!L10</x:f>
        <x:v>0</x:v>
      </x:c>
      <x:c r="M6" s="49" t="n">
        <x:f>'未分组个人'!M10</x:f>
        <x:v>0</x:v>
      </x:c>
      <x:c r="N6" s="49" t="n">
        <x:f>'未分组个人'!N10</x:f>
        <x:v>4325</x:v>
      </x:c>
      <x:c r="O6" s="49" t="n">
        <x:f>'未分组个人'!O10</x:f>
        <x:v>0</x:v>
      </x:c>
      <x:c r="P6" s="49" t="n">
        <x:f>'未分组个人'!P10</x:f>
        <x:v>0</x:v>
      </x:c>
      <x:c r="Q6" s="49" t="n">
        <x:f>'未分组个人'!Q10</x:f>
        <x:v>0</x:v>
      </x:c>
      <x:c r="R6" s="49" t="n">
        <x:f>'未分组个人'!R10</x:f>
        <x:v>0</x:v>
      </x:c>
      <x:c r="S6" s="49" t="n">
        <x:f>'未分组个人'!S10</x:f>
        <x:v>0</x:v>
      </x:c>
      <x:c r="T6" s="49" t="n">
        <x:f>'未分组个人'!T10</x:f>
        <x:v>0</x:v>
      </x:c>
      <x:c r="U6" s="49" t="n">
        <x:f>'未分组个人'!U10</x:f>
        <x:v>0</x:v>
      </x:c>
      <x:c r="V6" s="49" t="n">
        <x:f>'未分组个人'!V10</x:f>
        <x:v>0</x:v>
      </x:c>
      <x:c r="W6" s="49" t="n">
        <x:f>'未分组个人'!W10</x:f>
        <x:v>0</x:v>
      </x:c>
      <x:c r="X6" s="49" t="n">
        <x:f>'未分组个人'!X10</x:f>
        <x:v>0</x:v>
      </x:c>
      <x:c r="Y6" s="49" t="n">
        <x:f>'未分组个人'!Y10</x:f>
        <x:v>0</x:v>
      </x:c>
      <x:c r="Z6" s="49" t="n">
        <x:f>'未分组个人'!Z10</x:f>
        <x:v>0</x:v>
      </x:c>
      <x:c r="AA6" s="49" t="n">
        <x:f>'未分组个人'!AA10</x:f>
        <x:v>0</x:v>
      </x:c>
      <x:c r="AB6" s="49" t="n">
        <x:f>'未分组个人'!AB10</x:f>
        <x:v>0</x:v>
      </x:c>
      <x:c r="AC6" s="49" t="n">
        <x:f>'未分组个人'!AC10</x:f>
        <x:v>0</x:v>
      </x:c>
      <x:c r="AD6" s="49" t="n">
        <x:f>'未分组个人'!AD10</x:f>
        <x:v>0</x:v>
      </x:c>
      <x:c r="AE6" s="49" t="n">
        <x:f>'未分组个人'!AE10</x:f>
        <x:v>0</x:v>
      </x:c>
      <x:c r="AF6" s="49" t="n">
        <x:f>'未分组个人'!AF10</x:f>
        <x:v>0</x:v>
      </x:c>
      <x:c r="AG6" s="49" t="n">
        <x:f>'未分组个人'!AG10</x:f>
        <x:v>0</x:v>
      </x:c>
      <x:c r="AH6" s="49" t="n">
        <x:f>'未分组个人'!AH10</x:f>
        <x:v>7355</x:v>
      </x:c>
    </x:row>
    <x:row r="7">
      <x:c r="A7" s="46" t="str">
        <x:v>净寻公司合计</x:v>
      </x:c>
      <x:c r="B7" s="46"/>
      <x:c r="C7" s="46"/>
      <x:c r="D7" s="46" t="n">
        <x:f>SUM(D6:D6)</x:f>
        <x:v>0</x:v>
      </x:c>
      <x:c r="E7" s="46" t="n">
        <x:f>SUM(E6:E6)</x:f>
        <x:v>0</x:v>
      </x:c>
      <x:c r="F7" s="46" t="n">
        <x:f>SUM(F6:F6)</x:f>
        <x:v>0</x:v>
      </x:c>
      <x:c r="G7" s="46" t="n">
        <x:f>SUM(G6:G6)</x:f>
        <x:v>0</x:v>
      </x:c>
      <x:c r="H7" s="46" t="n">
        <x:f>SUM(H6:H6)</x:f>
        <x:v>0</x:v>
      </x:c>
      <x:c r="I7" s="46" t="n">
        <x:f>SUM(I6:I6)</x:f>
        <x:v>0</x:v>
      </x:c>
      <x:c r="J7" s="46" t="n">
        <x:f>SUM(J6:J6)</x:f>
        <x:v>0</x:v>
      </x:c>
      <x:c r="K7" s="46" t="n">
        <x:f>SUM(K6:K6)</x:f>
        <x:v>3030</x:v>
      </x:c>
      <x:c r="L7" s="46" t="n">
        <x:f>SUM(L6:L6)</x:f>
        <x:v>0</x:v>
      </x:c>
      <x:c r="M7" s="46" t="n">
        <x:f>SUM(M6:M6)</x:f>
        <x:v>0</x:v>
      </x:c>
      <x:c r="N7" s="46" t="n">
        <x:f>SUM(N6:N6)</x:f>
        <x:v>4325</x:v>
      </x:c>
      <x:c r="O7" s="46" t="n">
        <x:f>SUM(O6:O6)</x:f>
        <x:v>0</x:v>
      </x:c>
      <x:c r="P7" s="46" t="n">
        <x:f>SUM(P6:P6)</x:f>
        <x:v>0</x:v>
      </x:c>
      <x:c r="Q7" s="46" t="n">
        <x:f>SUM(Q6:Q6)</x:f>
        <x:v>0</x:v>
      </x:c>
      <x:c r="R7" s="46" t="n">
        <x:f>SUM(R6:R6)</x:f>
        <x:v>0</x:v>
      </x:c>
      <x:c r="S7" s="46" t="n">
        <x:f>SUM(S6:S6)</x:f>
        <x:v>0</x:v>
      </x:c>
      <x:c r="T7" s="46" t="n">
        <x:f>SUM(T6:T6)</x:f>
        <x:v>0</x:v>
      </x:c>
      <x:c r="U7" s="46" t="n">
        <x:f>SUM(U6:U6)</x:f>
        <x:v>0</x:v>
      </x:c>
      <x:c r="V7" s="46" t="n">
        <x:f>SUM(V6:V6)</x:f>
        <x:v>0</x:v>
      </x:c>
      <x:c r="W7" s="46" t="n">
        <x:f>SUM(W6:W6)</x:f>
        <x:v>0</x:v>
      </x:c>
      <x:c r="X7" s="46" t="n">
        <x:f>SUM(X6:X6)</x:f>
        <x:v>0</x:v>
      </x:c>
      <x:c r="Y7" s="46" t="n">
        <x:f>SUM(Y6:Y6)</x:f>
        <x:v>0</x:v>
      </x:c>
      <x:c r="Z7" s="46" t="n">
        <x:f>SUM(Z6:Z6)</x:f>
        <x:v>0</x:v>
      </x:c>
      <x:c r="AA7" s="46" t="n">
        <x:f>SUM(AA6:AA6)</x:f>
        <x:v>0</x:v>
      </x:c>
      <x:c r="AB7" s="46" t="n">
        <x:f>SUM(AB6:AB6)</x:f>
        <x:v>0</x:v>
      </x:c>
      <x:c r="AC7" s="46" t="n">
        <x:f>SUM(AC6:AC6)</x:f>
        <x:v>0</x:v>
      </x:c>
      <x:c r="AD7" s="46" t="n">
        <x:f>SUM(AD6:AD6)</x:f>
        <x:v>0</x:v>
      </x:c>
      <x:c r="AE7" s="46" t="n">
        <x:f>SUM(AE6:AE6)</x:f>
        <x:v>0</x:v>
      </x:c>
      <x:c r="AF7" s="46" t="n">
        <x:f>SUM(AF6:AF6)</x:f>
        <x:v>0</x:v>
      </x:c>
      <x:c r="AG7" s="46" t="n">
        <x:f>SUM(AG6:AG6)</x:f>
        <x:v>0</x:v>
      </x:c>
      <x:c r="AH7" s="46" t="n">
        <x:f>SUM(AH6:AH6)</x:f>
        <x:v>7355</x:v>
      </x:c>
    </x:row>
    <x:row r="9" ht="28" customHeight="1">
      <x:c r="A9" s="48" t="str">
        <x:v>公司隔离口径：团队按团长所属公司整组归属，未分组人员按个人公司标记归属；本文件只统计净寻公司，不含其他公司团队或员工。</x:v>
      </x:c>
      <x:c r="B9" s="48"/>
      <x:c r="C9" s="48"/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  <x:c r="AA9" s="48"/>
      <x:c r="AB9" s="48"/>
      <x:c r="AC9" s="48"/>
      <x:c r="AD9" s="48"/>
      <x:c r="AE9" s="48"/>
      <x:c r="AF9" s="48"/>
      <x:c r="AG9" s="48"/>
      <x:c r="AH9" s="48"/>
    </x:row>
  </x:sheetData>
  <x:mergeCells>
    <x:mergeCell ref="A1:AH1"/>
    <x:mergeCell ref="A2:AH2"/>
    <x:mergeCell ref="A7:C7"/>
    <x:mergeCell ref="A9:AH9"/>
  </x:mergeCells>
  <x:pageMargins left="0.7" right="0.7" top="0.75" bottom="0.75" header="0.3" footer="0.3"/>
  <x:tableParts count="1">
    <x:tablePart xmlns:r="http://schemas.openxmlformats.org/officeDocument/2006/relationships" r:id="Re9d0a015acbe4d8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5" hidden="0" customWidth="1"/>
  </x:cols>
  <x:sheetData>
    <x:row r="1" ht="32" customHeight="1">
      <x:c r="A1" s="3" t="str">
        <x:v>未分组个人 · 每日消耗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24" customHeight="1">
      <x:c r="A2" s="6" t="str">
        <x:v>净寻公司 · 生产快照 2026-08-29T12:42:15.085Z · UTC 自然日 · 失败请求不计 · 2026-08-29 为部分日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</x:row>
    <x:row r="3" ht="24" customHeight="1">
      <x:c r="A3" s="10" t="str">
        <x:v>人数</x:v>
      </x:c>
      <x:c r="B3" s="12" t="n">
        <x:v>4</x:v>
      </x:c>
      <x:c r="C3" s="13" t="str">
        <x:v>30天合计</x:v>
      </x:c>
      <x:c r="D3" s="12" t="n">
        <x:f>SUM(AH6:AH9)</x:f>
        <x:v>7355</x:v>
      </x:c>
      <x:c r="E3" s="10" t="str">
        <x:v>积分方式</x:v>
      </x:c>
      <x:c r="F3" s="11" t="str">
        <x:v>个人积分</x:v>
      </x:c>
    </x:row>
    <x:row r="5" ht="34" customHeight="1">
      <x:c r="A5" s="31" t="str">
        <x:v>用户</x:v>
      </x:c>
      <x:c r="B5" s="32" t="str">
        <x:v>身份</x:v>
      </x:c>
      <x:c r="C5" s="32" t="str">
        <x:v>账号</x:v>
      </x:c>
      <x:c r="D5" s="33" t="n">
        <x:v>46263</x:v>
      </x:c>
      <x:c r="E5" s="33" t="n">
        <x:v>46262</x:v>
      </x:c>
      <x:c r="F5" s="33" t="n">
        <x:v>46261</x:v>
      </x:c>
      <x:c r="G5" s="33" t="n">
        <x:v>46260</x:v>
      </x:c>
      <x:c r="H5" s="33" t="n">
        <x:v>46259</x:v>
      </x:c>
      <x:c r="I5" s="33" t="n">
        <x:v>46258</x:v>
      </x:c>
      <x:c r="J5" s="33" t="n">
        <x:v>46257</x:v>
      </x:c>
      <x:c r="K5" s="33" t="n">
        <x:v>46256</x:v>
      </x:c>
      <x:c r="L5" s="33" t="n">
        <x:v>46255</x:v>
      </x:c>
      <x:c r="M5" s="33" t="n">
        <x:v>46254</x:v>
      </x:c>
      <x:c r="N5" s="33" t="n">
        <x:v>46253</x:v>
      </x:c>
      <x:c r="O5" s="33" t="n">
        <x:v>46252</x:v>
      </x:c>
      <x:c r="P5" s="33" t="n">
        <x:v>46251</x:v>
      </x:c>
      <x:c r="Q5" s="33" t="n">
        <x:v>46250</x:v>
      </x:c>
      <x:c r="R5" s="33" t="n">
        <x:v>46249</x:v>
      </x:c>
      <x:c r="S5" s="33" t="n">
        <x:v>46248</x:v>
      </x:c>
      <x:c r="T5" s="33" t="n">
        <x:v>46247</x:v>
      </x:c>
      <x:c r="U5" s="33" t="n">
        <x:v>46246</x:v>
      </x:c>
      <x:c r="V5" s="33" t="n">
        <x:v>46245</x:v>
      </x:c>
      <x:c r="W5" s="33" t="n">
        <x:v>46244</x:v>
      </x:c>
      <x:c r="X5" s="33" t="n">
        <x:v>46243</x:v>
      </x:c>
      <x:c r="Y5" s="33" t="n">
        <x:v>46242</x:v>
      </x:c>
      <x:c r="Z5" s="33" t="n">
        <x:v>46241</x:v>
      </x:c>
      <x:c r="AA5" s="33" t="n">
        <x:v>46240</x:v>
      </x:c>
      <x:c r="AB5" s="33" t="n">
        <x:v>46239</x:v>
      </x:c>
      <x:c r="AC5" s="33" t="n">
        <x:v>46238</x:v>
      </x:c>
      <x:c r="AD5" s="33" t="n">
        <x:v>46237</x:v>
      </x:c>
      <x:c r="AE5" s="33" t="n">
        <x:v>46236</x:v>
      </x:c>
      <x:c r="AF5" s="33" t="n">
        <x:v>46235</x:v>
      </x:c>
      <x:c r="AG5" s="33" t="n">
        <x:v>46234</x:v>
      </x:c>
      <x:c r="AH5" s="34" t="str">
        <x:v>30天合计</x:v>
      </x:c>
    </x:row>
    <x:row r="6">
      <x:c r="A6" s="37" t="str">
        <x:v>1604459056@qq.com</x:v>
      </x:c>
      <x:c r="B6" s="37" t="str">
        <x:v>个人</x:v>
      </x:c>
      <x:c r="C6" s="37" t="str">
        <x:v>1604459056@qq.com</x:v>
      </x:c>
      <x:c r="D6" s="38" t="n">
        <x:v>0</x:v>
      </x:c>
      <x:c r="E6" s="38" t="n">
        <x:v>0</x:v>
      </x:c>
      <x:c r="F6" s="38" t="n">
        <x:v>0</x:v>
      </x:c>
      <x:c r="G6" s="38" t="n">
        <x:v>0</x:v>
      </x:c>
      <x:c r="H6" s="38" t="n">
        <x:v>0</x:v>
      </x:c>
      <x:c r="I6" s="38" t="n">
        <x:v>0</x:v>
      </x:c>
      <x:c r="J6" s="38" t="n">
        <x:v>0</x:v>
      </x:c>
      <x:c r="K6" s="38" t="n">
        <x:v>3030</x:v>
      </x:c>
      <x:c r="L6" s="38" t="n">
        <x:v>0</x:v>
      </x:c>
      <x:c r="M6" s="38" t="n">
        <x:v>0</x:v>
      </x:c>
      <x:c r="N6" s="38" t="n">
        <x:v>4315</x:v>
      </x:c>
      <x:c r="O6" s="38" t="n">
        <x:v>0</x:v>
      </x:c>
      <x:c r="P6" s="38" t="n">
        <x:v>0</x:v>
      </x:c>
      <x:c r="Q6" s="38" t="n">
        <x:v>0</x:v>
      </x:c>
      <x:c r="R6" s="38" t="n">
        <x:v>0</x:v>
      </x:c>
      <x:c r="S6" s="38" t="n">
        <x:v>0</x:v>
      </x:c>
      <x:c r="T6" s="38" t="n">
        <x:v>0</x:v>
      </x:c>
      <x:c r="U6" s="38" t="n">
        <x:v>0</x:v>
      </x:c>
      <x:c r="V6" s="38" t="n">
        <x:v>0</x:v>
      </x:c>
      <x:c r="W6" s="38" t="n">
        <x:v>0</x:v>
      </x:c>
      <x:c r="X6" s="38" t="n">
        <x:v>0</x:v>
      </x:c>
      <x:c r="Y6" s="38" t="n">
        <x:v>0</x:v>
      </x:c>
      <x:c r="Z6" s="38" t="n">
        <x:v>0</x:v>
      </x:c>
      <x:c r="AA6" s="38" t="n">
        <x:v>0</x:v>
      </x:c>
      <x:c r="AB6" s="38" t="n">
        <x:v>0</x:v>
      </x:c>
      <x:c r="AC6" s="38" t="n">
        <x:v>0</x:v>
      </x:c>
      <x:c r="AD6" s="38" t="n">
        <x:v>0</x:v>
      </x:c>
      <x:c r="AE6" s="38" t="n">
        <x:v>0</x:v>
      </x:c>
      <x:c r="AF6" s="38" t="n">
        <x:v>0</x:v>
      </x:c>
      <x:c r="AG6" s="38" t="n">
        <x:v>0</x:v>
      </x:c>
      <x:c r="AH6" s="38" t="n">
        <x:f>SUM(D6:AG6)</x:f>
        <x:v>7345</x:v>
      </x:c>
    </x:row>
    <x:row r="7">
      <x:c r="A7" s="41" t="str">
        <x:v>伍念</x:v>
      </x:c>
      <x:c r="B7" s="41" t="str">
        <x:v>个人</x:v>
      </x:c>
      <x:c r="C7" s="41" t="str">
        <x:v>jianxia123</x:v>
      </x:c>
      <x:c r="D7" s="42" t="n">
        <x:v>0</x:v>
      </x:c>
      <x:c r="E7" s="42" t="n">
        <x:v>0</x:v>
      </x:c>
      <x:c r="F7" s="42" t="n">
        <x:v>0</x:v>
      </x:c>
      <x:c r="G7" s="42" t="n">
        <x:v>0</x:v>
      </x:c>
      <x:c r="H7" s="42" t="n">
        <x:v>0</x:v>
      </x:c>
      <x:c r="I7" s="42" t="n">
        <x:v>0</x:v>
      </x:c>
      <x:c r="J7" s="42" t="n">
        <x:v>0</x:v>
      </x:c>
      <x:c r="K7" s="42" t="n">
        <x:v>0</x:v>
      </x:c>
      <x:c r="L7" s="42" t="n">
        <x:v>0</x:v>
      </x:c>
      <x:c r="M7" s="42" t="n">
        <x:v>0</x:v>
      </x:c>
      <x:c r="N7" s="42" t="n">
        <x:v>10</x:v>
      </x:c>
      <x:c r="O7" s="42" t="n">
        <x:v>0</x:v>
      </x:c>
      <x:c r="P7" s="42" t="n">
        <x:v>0</x:v>
      </x:c>
      <x:c r="Q7" s="42" t="n">
        <x:v>0</x:v>
      </x:c>
      <x:c r="R7" s="42" t="n">
        <x:v>0</x:v>
      </x:c>
      <x:c r="S7" s="42" t="n">
        <x:v>0</x:v>
      </x:c>
      <x:c r="T7" s="42" t="n">
        <x:v>0</x:v>
      </x:c>
      <x:c r="U7" s="42" t="n">
        <x:v>0</x:v>
      </x:c>
      <x:c r="V7" s="42" t="n">
        <x:v>0</x:v>
      </x:c>
      <x:c r="W7" s="42" t="n">
        <x:v>0</x:v>
      </x:c>
      <x:c r="X7" s="42" t="n">
        <x:v>0</x:v>
      </x:c>
      <x:c r="Y7" s="42" t="n">
        <x:v>0</x:v>
      </x:c>
      <x:c r="Z7" s="42" t="n">
        <x:v>0</x:v>
      </x:c>
      <x:c r="AA7" s="42" t="n">
        <x:v>0</x:v>
      </x:c>
      <x:c r="AB7" s="42" t="n">
        <x:v>0</x:v>
      </x:c>
      <x:c r="AC7" s="42" t="n">
        <x:v>0</x:v>
      </x:c>
      <x:c r="AD7" s="42" t="n">
        <x:v>0</x:v>
      </x:c>
      <x:c r="AE7" s="42" t="n">
        <x:v>0</x:v>
      </x:c>
      <x:c r="AF7" s="42" t="n">
        <x:v>0</x:v>
      </x:c>
      <x:c r="AG7" s="42" t="n">
        <x:v>0</x:v>
      </x:c>
      <x:c r="AH7" s="42" t="n">
        <x:f>SUM(D7:AG7)</x:f>
        <x:v>10</x:v>
      </x:c>
    </x:row>
    <x:row r="8">
      <x:c r="A8" s="39" t="str">
        <x:v>马</x:v>
      </x:c>
      <x:c r="B8" s="39" t="str">
        <x:v>个人</x:v>
      </x:c>
      <x:c r="C8" s="39" t="str">
        <x:v>15931623139</x:v>
      </x:c>
      <x:c r="D8" s="40" t="n">
        <x:v>0</x:v>
      </x:c>
      <x:c r="E8" s="40" t="n">
        <x:v>0</x:v>
      </x:c>
      <x:c r="F8" s="40" t="n">
        <x:v>0</x:v>
      </x:c>
      <x:c r="G8" s="40" t="n">
        <x:v>0</x:v>
      </x:c>
      <x:c r="H8" s="40" t="n">
        <x:v>0</x:v>
      </x:c>
      <x:c r="I8" s="40" t="n">
        <x:v>0</x:v>
      </x:c>
      <x:c r="J8" s="40" t="n">
        <x:v>0</x:v>
      </x:c>
      <x:c r="K8" s="40" t="n">
        <x:v>0</x:v>
      </x:c>
      <x:c r="L8" s="40" t="n">
        <x:v>0</x:v>
      </x:c>
      <x:c r="M8" s="40" t="n">
        <x:v>0</x:v>
      </x:c>
      <x:c r="N8" s="40" t="n">
        <x:v>0</x:v>
      </x:c>
      <x:c r="O8" s="40" t="n">
        <x:v>0</x:v>
      </x:c>
      <x:c r="P8" s="40" t="n">
        <x:v>0</x:v>
      </x:c>
      <x:c r="Q8" s="40" t="n">
        <x:v>0</x:v>
      </x:c>
      <x:c r="R8" s="40" t="n">
        <x:v>0</x:v>
      </x:c>
      <x:c r="S8" s="40" t="n">
        <x:v>0</x:v>
      </x:c>
      <x:c r="T8" s="40" t="n">
        <x:v>0</x:v>
      </x:c>
      <x:c r="U8" s="40" t="n">
        <x:v>0</x:v>
      </x:c>
      <x:c r="V8" s="40" t="n">
        <x:v>0</x:v>
      </x:c>
      <x:c r="W8" s="40" t="n">
        <x:v>0</x:v>
      </x:c>
      <x:c r="X8" s="40" t="n">
        <x:v>0</x:v>
      </x:c>
      <x:c r="Y8" s="40" t="n">
        <x:v>0</x:v>
      </x:c>
      <x:c r="Z8" s="40" t="n">
        <x:v>0</x:v>
      </x:c>
      <x:c r="AA8" s="40" t="n">
        <x:v>0</x:v>
      </x:c>
      <x:c r="AB8" s="40" t="n">
        <x:v>0</x:v>
      </x:c>
      <x:c r="AC8" s="40" t="n">
        <x:v>0</x:v>
      </x:c>
      <x:c r="AD8" s="40" t="n">
        <x:v>0</x:v>
      </x:c>
      <x:c r="AE8" s="40" t="n">
        <x:v>0</x:v>
      </x:c>
      <x:c r="AF8" s="40" t="n">
        <x:v>0</x:v>
      </x:c>
      <x:c r="AG8" s="40" t="n">
        <x:v>0</x:v>
      </x:c>
      <x:c r="AH8" s="40" t="n">
        <x:f>SUM(D8:AG8)</x:f>
        <x:v>0</x:v>
      </x:c>
    </x:row>
    <x:row r="9">
      <x:c r="A9" s="41" t="str">
        <x:v>jianxia123</x:v>
      </x:c>
      <x:c r="B9" s="41" t="str">
        <x:v>个人</x:v>
      </x:c>
      <x:c r="C9" s="41" t="str">
        <x:v>3075784821@qq.com</x:v>
      </x:c>
      <x:c r="D9" s="42" t="n">
        <x:v>0</x:v>
      </x:c>
      <x:c r="E9" s="42" t="n">
        <x:v>0</x:v>
      </x:c>
      <x:c r="F9" s="42" t="n">
        <x:v>0</x:v>
      </x:c>
      <x:c r="G9" s="42" t="n">
        <x:v>0</x:v>
      </x:c>
      <x:c r="H9" s="42" t="n">
        <x:v>0</x:v>
      </x:c>
      <x:c r="I9" s="42" t="n">
        <x:v>0</x:v>
      </x:c>
      <x:c r="J9" s="42" t="n">
        <x:v>0</x:v>
      </x:c>
      <x:c r="K9" s="42" t="n">
        <x:v>0</x:v>
      </x:c>
      <x:c r="L9" s="42" t="n">
        <x:v>0</x:v>
      </x:c>
      <x:c r="M9" s="42" t="n">
        <x:v>0</x:v>
      </x:c>
      <x:c r="N9" s="42" t="n">
        <x:v>0</x:v>
      </x:c>
      <x:c r="O9" s="42" t="n">
        <x:v>0</x:v>
      </x:c>
      <x:c r="P9" s="42" t="n">
        <x:v>0</x:v>
      </x:c>
      <x:c r="Q9" s="42" t="n">
        <x:v>0</x:v>
      </x:c>
      <x:c r="R9" s="42" t="n">
        <x:v>0</x:v>
      </x:c>
      <x:c r="S9" s="42" t="n">
        <x:v>0</x:v>
      </x:c>
      <x:c r="T9" s="42" t="n">
        <x:v>0</x:v>
      </x:c>
      <x:c r="U9" s="42" t="n">
        <x:v>0</x:v>
      </x:c>
      <x:c r="V9" s="42" t="n">
        <x:v>0</x:v>
      </x:c>
      <x:c r="W9" s="42" t="n">
        <x:v>0</x:v>
      </x:c>
      <x:c r="X9" s="42" t="n">
        <x:v>0</x:v>
      </x:c>
      <x:c r="Y9" s="42" t="n">
        <x:v>0</x:v>
      </x:c>
      <x:c r="Z9" s="42" t="n">
        <x:v>0</x:v>
      </x:c>
      <x:c r="AA9" s="42" t="n">
        <x:v>0</x:v>
      </x:c>
      <x:c r="AB9" s="42" t="n">
        <x:v>0</x:v>
      </x:c>
      <x:c r="AC9" s="42" t="n">
        <x:v>0</x:v>
      </x:c>
      <x:c r="AD9" s="42" t="n">
        <x:v>0</x:v>
      </x:c>
      <x:c r="AE9" s="42" t="n">
        <x:v>0</x:v>
      </x:c>
      <x:c r="AF9" s="42" t="n">
        <x:v>0</x:v>
      </x:c>
      <x:c r="AG9" s="42" t="n">
        <x:v>0</x:v>
      </x:c>
      <x:c r="AH9" s="42" t="n">
        <x:f>SUM(D9:AG9)</x:f>
        <x:v>0</x:v>
      </x:c>
    </x:row>
    <x:row r="10">
      <x:c r="A10" s="46" t="str">
        <x:v>未分组合计</x:v>
      </x:c>
      <x:c r="B10" s="46"/>
      <x:c r="C10" s="46"/>
      <x:c r="D10" s="46" t="n">
        <x:f>SUM(D6:D9)</x:f>
        <x:v>0</x:v>
      </x:c>
      <x:c r="E10" s="46" t="n">
        <x:f>SUM(E6:E9)</x:f>
        <x:v>0</x:v>
      </x:c>
      <x:c r="F10" s="46" t="n">
        <x:f>SUM(F6:F9)</x:f>
        <x:v>0</x:v>
      </x:c>
      <x:c r="G10" s="46" t="n">
        <x:f>SUM(G6:G9)</x:f>
        <x:v>0</x:v>
      </x:c>
      <x:c r="H10" s="46" t="n">
        <x:f>SUM(H6:H9)</x:f>
        <x:v>0</x:v>
      </x:c>
      <x:c r="I10" s="46" t="n">
        <x:f>SUM(I6:I9)</x:f>
        <x:v>0</x:v>
      </x:c>
      <x:c r="J10" s="46" t="n">
        <x:f>SUM(J6:J9)</x:f>
        <x:v>0</x:v>
      </x:c>
      <x:c r="K10" s="46" t="n">
        <x:f>SUM(K6:K9)</x:f>
        <x:v>3030</x:v>
      </x:c>
      <x:c r="L10" s="46" t="n">
        <x:f>SUM(L6:L9)</x:f>
        <x:v>0</x:v>
      </x:c>
      <x:c r="M10" s="46" t="n">
        <x:f>SUM(M6:M9)</x:f>
        <x:v>0</x:v>
      </x:c>
      <x:c r="N10" s="46" t="n">
        <x:f>SUM(N6:N9)</x:f>
        <x:v>4325</x:v>
      </x:c>
      <x:c r="O10" s="46" t="n">
        <x:f>SUM(O6:O9)</x:f>
        <x:v>0</x:v>
      </x:c>
      <x:c r="P10" s="46" t="n">
        <x:f>SUM(P6:P9)</x:f>
        <x:v>0</x:v>
      </x:c>
      <x:c r="Q10" s="46" t="n">
        <x:f>SUM(Q6:Q9)</x:f>
        <x:v>0</x:v>
      </x:c>
      <x:c r="R10" s="46" t="n">
        <x:f>SUM(R6:R9)</x:f>
        <x:v>0</x:v>
      </x:c>
      <x:c r="S10" s="46" t="n">
        <x:f>SUM(S6:S9)</x:f>
        <x:v>0</x:v>
      </x:c>
      <x:c r="T10" s="46" t="n">
        <x:f>SUM(T6:T9)</x:f>
        <x:v>0</x:v>
      </x:c>
      <x:c r="U10" s="46" t="n">
        <x:f>SUM(U6:U9)</x:f>
        <x:v>0</x:v>
      </x:c>
      <x:c r="V10" s="46" t="n">
        <x:f>SUM(V6:V9)</x:f>
        <x:v>0</x:v>
      </x:c>
      <x:c r="W10" s="46" t="n">
        <x:f>SUM(W6:W9)</x:f>
        <x:v>0</x:v>
      </x:c>
      <x:c r="X10" s="46" t="n">
        <x:f>SUM(X6:X9)</x:f>
        <x:v>0</x:v>
      </x:c>
      <x:c r="Y10" s="46" t="n">
        <x:f>SUM(Y6:Y9)</x:f>
        <x:v>0</x:v>
      </x:c>
      <x:c r="Z10" s="46" t="n">
        <x:f>SUM(Z6:Z9)</x:f>
        <x:v>0</x:v>
      </x:c>
      <x:c r="AA10" s="46" t="n">
        <x:f>SUM(AA6:AA9)</x:f>
        <x:v>0</x:v>
      </x:c>
      <x:c r="AB10" s="46" t="n">
        <x:f>SUM(AB6:AB9)</x:f>
        <x:v>0</x:v>
      </x:c>
      <x:c r="AC10" s="46" t="n">
        <x:f>SUM(AC6:AC9)</x:f>
        <x:v>0</x:v>
      </x:c>
      <x:c r="AD10" s="46" t="n">
        <x:f>SUM(AD6:AD9)</x:f>
        <x:v>0</x:v>
      </x:c>
      <x:c r="AE10" s="46" t="n">
        <x:f>SUM(AE6:AE9)</x:f>
        <x:v>0</x:v>
      </x:c>
      <x:c r="AF10" s="46" t="n">
        <x:f>SUM(AF6:AF9)</x:f>
        <x:v>0</x:v>
      </x:c>
      <x:c r="AG10" s="46" t="n">
        <x:f>SUM(AG6:AG9)</x:f>
        <x:v>0</x:v>
      </x:c>
      <x:c r="AH10" s="46" t="n">
        <x:f>SUM(AH6:AH9)</x:f>
        <x:v>7355</x:v>
      </x:c>
    </x:row>
    <x:row r="12" ht="28" customHeight="1">
      <x:c r="A12" s="48" t="str">
        <x:v>口径：仅含净寻公司内快照时点未加入任何团队的人员；未分组人员按个人公司标记归属。</x:v>
      </x:c>
      <x:c r="B12" s="48"/>
      <x:c r="C12" s="48"/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  <x:c r="AA12" s="48"/>
      <x:c r="AB12" s="48"/>
      <x:c r="AC12" s="48"/>
      <x:c r="AD12" s="48"/>
      <x:c r="AE12" s="48"/>
      <x:c r="AF12" s="48"/>
      <x:c r="AG12" s="48"/>
      <x:c r="AH12" s="48"/>
    </x:row>
  </x:sheetData>
  <x:mergeCells>
    <x:mergeCell ref="A1:AH1"/>
    <x:mergeCell ref="A2:AH2"/>
    <x:mergeCell ref="A10:C10"/>
    <x:mergeCell ref="A12:AH12"/>
  </x:mergeCells>
  <x:pageMargins left="0.7" right="0.7" top="0.75" bottom="0.75" header="0.3" footer="0.3"/>
  <x:tableParts count="1">
    <x:tablePart xmlns:r="http://schemas.openxmlformats.org/officeDocument/2006/relationships" r:id="R57e3d0dd548a4b55"/>
  </x:tableParts>
</x:worksheet>
</file>