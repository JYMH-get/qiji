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73ca36b52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用户" sheetId="1" r:id="R58bb2442f2a6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mm-dd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667788"/>
      <x:name val="Carlito"/>
    </x:font>
    <x:font>
      <x:sz val="11"/>
      <x:color rgb="FF203040"/>
      <x:name val="Carlito"/>
    </x:font>
    <x:font>
      <x:b/>
      <x:sz val="11"/>
      <x:color rgb="FF1F4E78"/>
      <x:name val="Carlito"/>
    </x:font>
    <x:font>
      <x:b/>
      <x:sz val="11"/>
      <x:color rgb="FF203040"/>
      <x:name val="Carlito"/>
    </x:font>
    <x:font>
      <x:b/>
      <x:sz val="10"/>
      <x:color rgb="FFFFFFFF"/>
      <x:name val="Carlito"/>
    </x:font>
    <x:font>
      <x:sz val="10"/>
      <x:color rgb="FF203040"/>
      <x:name val="Carlito"/>
    </x:font>
    <x:font>
      <x:i/>
      <x:sz val="9"/>
      <x:color rgb="FF66778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bottom style="double">
        <x:color rgb="FF1F4E78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201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201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wrapText="1"/>
    </x:xf>
    <x:xf numFmtId="201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201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7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7" fillId="0" borderId="4" xfId="0" applyNumberFormat="1" applyFont="1" applyFill="1" applyBorder="1"/>
    <x:xf numFmtId="200" fontId="0" fillId="0" borderId="4" xfId="0" applyNumberFormat="1" applyFont="1" applyFill="1" applyBorder="1" applyAlignment="1">
      <x:alignment horizontal="right"/>
    </x:xf>
    <x:xf numFmtId="0" fontId="7" fillId="0" borderId="5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0" fontId="7" fillId="3" borderId="5" xfId="0" applyNumberFormat="1" applyFont="1" applyFill="1" applyBorder="1"/>
    <x:xf numFmtId="200" fontId="0" fillId="3" borderId="5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200" fontId="5" fillId="6" borderId="6" xfId="0" applyNumberFormat="1" applyFont="1" applyFill="1" applyBorder="1"/>
    <x:xf numFmtId="200" fontId="5" fillId="6" borderId="6" xfId="0" applyNumberFormat="1" applyFont="1" applyFill="1" applyBorder="1" applyAlignment="1">
      <x:alignment horizontal="left"/>
    </x:xf>
    <x:xf numFmtId="200" fontId="5" fillId="6" borderId="6" xfId="0" applyNumberFormat="1" applyFont="1" applyFill="1" applyBorder="1" applyAlignment="1">
      <x:alignment horizontal="right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cf0ca2a75491a" /><Relationship Type="http://schemas.openxmlformats.org/officeDocument/2006/relationships/theme" Target="/xl/theme/theme1.xml" Id="R37c19b9f3a50427d" /><Relationship Type="http://schemas.openxmlformats.org/officeDocument/2006/relationships/sharedStrings" Target="/xl/sharedStrings.xml" Id="R21fb772c451c4e65" /><Relationship Type="http://schemas.openxmlformats.org/officeDocument/2006/relationships/worksheet" Target="/xl/worksheets/sheet1.xml" Id="R58bb2442f2a64bd9" /></Relationships>
</file>

<file path=xl/tables/table1.xml><?xml version="1.0" encoding="utf-8"?>
<x:table xmlns:x="http://schemas.openxmlformats.org/spreadsheetml/2006/main" id="1" name="AgentUserUsage" displayName="AgentUserUsage" ref="A5:AH9" headerRowCount="1" totalsRowCount="0" totalsRowShown="0">
  <x:autoFilter ref="A5:AH9"/>
  <x:tableColumns count="34">
    <x:tableColumn id="1" name="用户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515bf3c4c24d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净寻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用户数</x:v>
      </x:c>
      <x:c r="B3" s="12" t="n">
        <x:v>4</x:v>
      </x:c>
      <x:c r="C3" s="13" t="str">
        <x:v>30天合计</x:v>
      </x:c>
      <x:c r="D3" s="12" t="n">
        <x:f>SUM(AH6:AH9)</x:f>
        <x:v>7355</x:v>
      </x:c>
      <x:c r="E3" s="10" t="str">
        <x:v>统计视角</x:v>
      </x:c>
      <x:c r="F3" s="11" t="str">
        <x:v>渠道商用户</x:v>
      </x:c>
    </x:row>
    <x:row r="5" ht="34" customHeight="1">
      <x:c r="A5" s="31" t="str">
        <x:v>用户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1604459056@qq.com</x:v>
      </x:c>
      <x:c r="B6" s="38" t="str">
        <x:v>用户</x:v>
      </x:c>
      <x:c r="C6" s="38" t="str">
        <x:v>1604459056@qq.com</x:v>
      </x:c>
      <x:c r="D6" s="39" t="n">
        <x:v>0</x:v>
      </x:c>
      <x:c r="E6" s="39" t="n">
        <x:v>0</x:v>
      </x:c>
      <x:c r="F6" s="39" t="n">
        <x:v>0</x:v>
      </x:c>
      <x:c r="G6" s="39" t="n">
        <x:v>0</x:v>
      </x:c>
      <x:c r="H6" s="39" t="n">
        <x:v>0</x:v>
      </x:c>
      <x:c r="I6" s="39" t="n">
        <x:v>0</x:v>
      </x:c>
      <x:c r="J6" s="39" t="n">
        <x:v>0</x:v>
      </x:c>
      <x:c r="K6" s="39" t="n">
        <x:v>3030</x:v>
      </x:c>
      <x:c r="L6" s="39" t="n">
        <x:v>0</x:v>
      </x:c>
      <x:c r="M6" s="39" t="n">
        <x:v>0</x:v>
      </x:c>
      <x:c r="N6" s="39" t="n">
        <x:v>4315</x:v>
      </x:c>
      <x:c r="O6" s="39" t="n">
        <x:v>0</x:v>
      </x:c>
      <x:c r="P6" s="39" t="n">
        <x:v>0</x:v>
      </x:c>
      <x:c r="Q6" s="39" t="n">
        <x:v>0</x:v>
      </x:c>
      <x:c r="R6" s="39" t="n">
        <x:v>0</x:v>
      </x:c>
      <x:c r="S6" s="39" t="n">
        <x:v>0</x:v>
      </x:c>
      <x:c r="T6" s="39" t="n">
        <x:v>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7345</x:v>
      </x:c>
    </x:row>
    <x:row r="7">
      <x:c r="A7" s="42" t="str">
        <x:v>伍念</x:v>
      </x:c>
      <x:c r="B7" s="42" t="str">
        <x:v>用户</x:v>
      </x:c>
      <x:c r="C7" s="42" t="str">
        <x:v>jianxia123</x:v>
      </x:c>
      <x:c r="D7" s="43" t="n">
        <x:v>0</x:v>
      </x:c>
      <x:c r="E7" s="43" t="n">
        <x:v>0</x:v>
      </x:c>
      <x:c r="F7" s="43" t="n">
        <x:v>0</x:v>
      </x:c>
      <x:c r="G7" s="43" t="n">
        <x:v>0</x:v>
      </x:c>
      <x:c r="H7" s="43" t="n">
        <x:v>0</x:v>
      </x:c>
      <x:c r="I7" s="43" t="n">
        <x:v>0</x:v>
      </x:c>
      <x:c r="J7" s="43" t="n">
        <x:v>0</x:v>
      </x:c>
      <x:c r="K7" s="43" t="n">
        <x:v>0</x:v>
      </x:c>
      <x:c r="L7" s="43" t="n">
        <x:v>0</x:v>
      </x:c>
      <x:c r="M7" s="43" t="n">
        <x:v>0</x:v>
      </x:c>
      <x:c r="N7" s="43" t="n">
        <x:v>10</x:v>
      </x:c>
      <x:c r="O7" s="43" t="n">
        <x:v>0</x:v>
      </x:c>
      <x:c r="P7" s="43" t="n">
        <x:v>0</x:v>
      </x:c>
      <x:c r="Q7" s="43" t="n">
        <x:v>0</x:v>
      </x:c>
      <x:c r="R7" s="43" t="n">
        <x:v>0</x:v>
      </x:c>
      <x:c r="S7" s="43" t="n">
        <x:v>0</x:v>
      </x:c>
      <x:c r="T7" s="43" t="n">
        <x:v>0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10</x:v>
      </x:c>
    </x:row>
    <x:row r="8">
      <x:c r="A8" s="40" t="str">
        <x:v>马</x:v>
      </x:c>
      <x:c r="B8" s="40" t="str">
        <x:v>用户</x:v>
      </x:c>
      <x:c r="C8" s="40" t="str">
        <x:v>15931623139</x:v>
      </x:c>
      <x:c r="D8" s="41" t="n">
        <x:v>0</x:v>
      </x:c>
      <x:c r="E8" s="41" t="n">
        <x:v>0</x:v>
      </x:c>
      <x:c r="F8" s="41" t="n">
        <x:v>0</x:v>
      </x:c>
      <x:c r="G8" s="41" t="n">
        <x:v>0</x:v>
      </x:c>
      <x:c r="H8" s="41" t="n">
        <x:v>0</x:v>
      </x:c>
      <x:c r="I8" s="41" t="n">
        <x:v>0</x:v>
      </x:c>
      <x:c r="J8" s="41" t="n">
        <x:v>0</x:v>
      </x:c>
      <x:c r="K8" s="41" t="n">
        <x:v>0</x:v>
      </x:c>
      <x:c r="L8" s="41" t="n">
        <x:v>0</x:v>
      </x:c>
      <x:c r="M8" s="41" t="n">
        <x:v>0</x:v>
      </x:c>
      <x:c r="N8" s="41" t="n">
        <x:v>0</x:v>
      </x:c>
      <x:c r="O8" s="41" t="n">
        <x:v>0</x:v>
      </x:c>
      <x:c r="P8" s="41" t="n">
        <x:v>0</x:v>
      </x:c>
      <x:c r="Q8" s="41" t="n">
        <x:v>0</x:v>
      </x:c>
      <x:c r="R8" s="41" t="n">
        <x:v>0</x:v>
      </x:c>
      <x:c r="S8" s="41" t="n">
        <x:v>0</x:v>
      </x:c>
      <x:c r="T8" s="41" t="n">
        <x:v>0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0</x:v>
      </x:c>
    </x:row>
    <x:row r="9">
      <x:c r="A9" s="42" t="str">
        <x:v>jianxia123</x:v>
      </x:c>
      <x:c r="B9" s="42" t="str">
        <x:v>用户</x:v>
      </x:c>
      <x:c r="C9" s="42" t="str">
        <x:v>3075784821@qq.com</x:v>
      </x:c>
      <x:c r="D9" s="43" t="n">
        <x:v>0</x:v>
      </x:c>
      <x:c r="E9" s="43" t="n">
        <x:v>0</x:v>
      </x:c>
      <x:c r="F9" s="43" t="n">
        <x:v>0</x:v>
      </x:c>
      <x:c r="G9" s="43" t="n">
        <x:v>0</x:v>
      </x:c>
      <x:c r="H9" s="43" t="n">
        <x:v>0</x:v>
      </x:c>
      <x:c r="I9" s="43" t="n">
        <x:v>0</x:v>
      </x:c>
      <x:c r="J9" s="43" t="n">
        <x:v>0</x:v>
      </x:c>
      <x:c r="K9" s="43" t="n">
        <x:v>0</x:v>
      </x:c>
      <x:c r="L9" s="43" t="n">
        <x:v>0</x:v>
      </x:c>
      <x:c r="M9" s="43" t="n">
        <x:v>0</x:v>
      </x:c>
      <x:c r="N9" s="43" t="n">
        <x:v>0</x:v>
      </x:c>
      <x:c r="O9" s="43" t="n">
        <x:v>0</x:v>
      </x:c>
      <x:c r="P9" s="43" t="n">
        <x:v>0</x:v>
      </x:c>
      <x:c r="Q9" s="43" t="n">
        <x:v>0</x:v>
      </x:c>
      <x:c r="R9" s="43" t="n">
        <x:v>0</x:v>
      </x:c>
      <x:c r="S9" s="43" t="n">
        <x:v>0</x:v>
      </x:c>
      <x:c r="T9" s="43" t="n">
        <x:v>0</x:v>
      </x:c>
      <x:c r="U9" s="43" t="n">
        <x:v>0</x:v>
      </x:c>
      <x:c r="V9" s="43" t="n">
        <x:v>0</x:v>
      </x:c>
      <x:c r="W9" s="43" t="n">
        <x:v>0</x:v>
      </x:c>
      <x:c r="X9" s="43" t="n">
        <x:v>0</x:v>
      </x:c>
      <x:c r="Y9" s="43" t="n">
        <x:v>0</x:v>
      </x:c>
      <x:c r="Z9" s="43" t="n">
        <x:v>0</x:v>
      </x:c>
      <x:c r="AA9" s="43" t="n">
        <x:v>0</x:v>
      </x:c>
      <x:c r="AB9" s="43" t="n">
        <x:v>0</x:v>
      </x:c>
      <x:c r="AC9" s="43" t="n">
        <x:v>0</x:v>
      </x:c>
      <x:c r="AD9" s="43" t="n">
        <x:v>0</x:v>
      </x:c>
      <x:c r="AE9" s="43" t="n">
        <x:v>0</x:v>
      </x:c>
      <x:c r="AF9" s="43" t="n">
        <x:v>0</x:v>
      </x:c>
      <x:c r="AG9" s="43" t="n">
        <x:v>0</x:v>
      </x:c>
      <x:c r="AH9" s="43" t="n">
        <x:f>SUM(D9:AG9)</x:f>
        <x:v>0</x:v>
      </x:c>
    </x:row>
    <x:row r="10">
      <x:c r="A10" s="48" t="str">
        <x:v>渠道商合计</x:v>
      </x:c>
      <x:c r="B10" s="48"/>
      <x:c r="C10" s="48"/>
      <x:c r="D10" s="49" t="n">
        <x:f>SUM(D6:D9)</x:f>
        <x:v>0</x:v>
      </x:c>
      <x:c r="E10" s="49" t="n">
        <x:f>SUM(E6:E9)</x:f>
        <x:v>0</x:v>
      </x:c>
      <x:c r="F10" s="49" t="n">
        <x:f>SUM(F6:F9)</x:f>
        <x:v>0</x:v>
      </x:c>
      <x:c r="G10" s="49" t="n">
        <x:f>SUM(G6:G9)</x:f>
        <x:v>0</x:v>
      </x:c>
      <x:c r="H10" s="49" t="n">
        <x:f>SUM(H6:H9)</x:f>
        <x:v>0</x:v>
      </x:c>
      <x:c r="I10" s="49" t="n">
        <x:f>SUM(I6:I9)</x:f>
        <x:v>0</x:v>
      </x:c>
      <x:c r="J10" s="49" t="n">
        <x:f>SUM(J6:J9)</x:f>
        <x:v>0</x:v>
      </x:c>
      <x:c r="K10" s="49" t="n">
        <x:f>SUM(K6:K9)</x:f>
        <x:v>3030</x:v>
      </x:c>
      <x:c r="L10" s="49" t="n">
        <x:f>SUM(L6:L9)</x:f>
        <x:v>0</x:v>
      </x:c>
      <x:c r="M10" s="49" t="n">
        <x:f>SUM(M6:M9)</x:f>
        <x:v>0</x:v>
      </x:c>
      <x:c r="N10" s="49" t="n">
        <x:f>SUM(N6:N9)</x:f>
        <x:v>4325</x:v>
      </x:c>
      <x:c r="O10" s="49" t="n">
        <x:f>SUM(O6:O9)</x:f>
        <x:v>0</x:v>
      </x:c>
      <x:c r="P10" s="49" t="n">
        <x:f>SUM(P6:P9)</x:f>
        <x:v>0</x:v>
      </x:c>
      <x:c r="Q10" s="49" t="n">
        <x:f>SUM(Q6:Q9)</x:f>
        <x:v>0</x:v>
      </x:c>
      <x:c r="R10" s="49" t="n">
        <x:f>SUM(R6:R9)</x:f>
        <x:v>0</x:v>
      </x:c>
      <x:c r="S10" s="49" t="n">
        <x:f>SUM(S6:S9)</x:f>
        <x:v>0</x:v>
      </x:c>
      <x:c r="T10" s="49" t="n">
        <x:f>SUM(T6:T9)</x:f>
        <x:v>0</x:v>
      </x:c>
      <x:c r="U10" s="49" t="n">
        <x:f>SUM(U6:U9)</x:f>
        <x:v>0</x:v>
      </x:c>
      <x:c r="V10" s="49" t="n">
        <x:f>SUM(V6:V9)</x:f>
        <x:v>0</x:v>
      </x:c>
      <x:c r="W10" s="49" t="n">
        <x:f>SUM(W6:W9)</x:f>
        <x:v>0</x:v>
      </x:c>
      <x:c r="X10" s="49" t="n">
        <x:f>SUM(X6:X9)</x:f>
        <x:v>0</x:v>
      </x:c>
      <x:c r="Y10" s="49" t="n">
        <x:f>SUM(Y6:Y9)</x:f>
        <x:v>0</x:v>
      </x:c>
      <x:c r="Z10" s="49" t="n">
        <x:f>SUM(Z6:Z9)</x:f>
        <x:v>0</x:v>
      </x:c>
      <x:c r="AA10" s="49" t="n">
        <x:f>SUM(AA6:AA9)</x:f>
        <x:v>0</x:v>
      </x:c>
      <x:c r="AB10" s="49" t="n">
        <x:f>SUM(AB6:AB9)</x:f>
        <x:v>0</x:v>
      </x:c>
      <x:c r="AC10" s="49" t="n">
        <x:f>SUM(AC6:AC9)</x:f>
        <x:v>0</x:v>
      </x:c>
      <x:c r="AD10" s="49" t="n">
        <x:f>SUM(AD6:AD9)</x:f>
        <x:v>0</x:v>
      </x:c>
      <x:c r="AE10" s="49" t="n">
        <x:f>SUM(AE6:AE9)</x:f>
        <x:v>0</x:v>
      </x:c>
      <x:c r="AF10" s="49" t="n">
        <x:f>SUM(AF6:AF9)</x:f>
        <x:v>0</x:v>
      </x:c>
      <x:c r="AG10" s="49" t="n">
        <x:f>SUM(AG6:AG9)</x:f>
        <x:v>0</x:v>
      </x:c>
      <x:c r="AH10" s="49" t="n">
        <x:f>SUM(AH6:AH9)</x:f>
        <x:v>7355</x:v>
      </x:c>
    </x:row>
    <x:row r="12" ht="28" customHeight="1">
      <x:c r="A12" s="51" t="str">
        <x:v>口径：本文件仅汇总该渠道商名下的当前用户；按请求开始日期（UTC）归集，失败请求已退款不计消耗。用户可能同时出现在团队报表中，两种归属视角不可相加。</x:v>
      </x:c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  <x:c r="AA12" s="51"/>
      <x:c r="AB12" s="51"/>
      <x:c r="AC12" s="51"/>
      <x:c r="AD12" s="51"/>
      <x:c r="AE12" s="51"/>
      <x:c r="AF12" s="51"/>
      <x:c r="AG12" s="51"/>
      <x:c r="AH12" s="51"/>
    </x:row>
  </x:sheetData>
  <x:mergeCells>
    <x:mergeCell ref="A1:AH1"/>
    <x:mergeCell ref="A2:AH2"/>
    <x:mergeCell ref="A10:C10"/>
    <x:mergeCell ref="A12:AH12"/>
  </x:mergeCells>
  <x:pageMargins left="0.7" right="0.7" top="0.75" bottom="0.75" header="0.3" footer="0.3"/>
  <x:tableParts count="1">
    <x:tablePart xmlns:r="http://schemas.openxmlformats.org/officeDocument/2006/relationships" r:id="R1e515bf3c4c24dfd"/>
  </x:tableParts>
</x:worksheet>
</file>